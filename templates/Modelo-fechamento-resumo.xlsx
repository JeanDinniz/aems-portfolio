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https://d.docs.live.net/e4b7fabac13b1b21/WASHCENTER/04. FECHAMENTO/FECHAMENTO JAN_2026/MODELOS/"/>
    </mc:Choice>
  </mc:AlternateContent>
  <xr:revisionPtr revIDLastSave="0" documentId="8_{3BC5CF4F-54D8-4111-98B0-B7A2690FB7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CHAMENTO" sheetId="1" r:id="rId1"/>
  </sheets>
  <definedNames>
    <definedName name="_xlnm.Print_Area" localSheetId="0">FECHAMENTO!$A$1:$K$51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I35" i="1"/>
  <c r="J44" i="1"/>
  <c r="J30" i="1"/>
  <c r="J15" i="1"/>
  <c r="J19" i="1"/>
  <c r="B20" i="1"/>
  <c r="I29" i="1"/>
  <c r="K27" i="1"/>
  <c r="I27" i="1"/>
  <c r="G48" i="1"/>
  <c r="C48" i="1"/>
  <c r="C21" i="1"/>
  <c r="D48" i="1" s="1"/>
  <c r="E48" i="1"/>
  <c r="C30" i="1"/>
  <c r="C44" i="1"/>
  <c r="C15" i="1"/>
  <c r="A48" i="1"/>
  <c r="I48" i="1" l="1"/>
  <c r="D6" i="1"/>
  <c r="B48" i="1" l="1"/>
  <c r="J4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</author>
  </authors>
  <commentList>
    <comment ref="A2" authorId="0" shapeId="0" xr:uid="{CC5BFD39-91C9-432B-B9F0-3C42CDF9E6C4}">
      <text>
        <r>
          <rPr>
            <b/>
            <sz val="9"/>
            <color indexed="81"/>
            <rFont val="Segoe UI"/>
            <family val="2"/>
          </rPr>
          <t xml:space="preserve">Rafael: </t>
        </r>
        <r>
          <rPr>
            <b/>
            <sz val="12"/>
            <color indexed="81"/>
            <rFont val="Segoe UI"/>
            <family val="2"/>
          </rPr>
          <t>OFICINA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u/>
            <sz val="9"/>
            <color indexed="81"/>
            <rFont val="Segoe UI"/>
            <family val="2"/>
          </rPr>
          <t xml:space="preserve">
</t>
        </r>
        <r>
          <rPr>
            <b/>
            <u/>
            <sz val="9"/>
            <color indexed="81"/>
            <rFont val="Segoe UI"/>
            <family val="2"/>
          </rPr>
          <t>SERVIÇOS OFICINA:</t>
        </r>
        <r>
          <rPr>
            <b/>
            <sz val="9"/>
            <color indexed="81"/>
            <rFont val="Segoe UI"/>
            <family val="2"/>
          </rPr>
          <t xml:space="preserve"> PUXAR RELATÓRIO DE VENDAS E PREENCHER COM O TOTAL E  QUANTIDADE DE SERVIÇOS.
</t>
        </r>
        <r>
          <rPr>
            <b/>
            <u/>
            <sz val="9"/>
            <color indexed="81"/>
            <rFont val="Segoe UI"/>
            <family val="2"/>
          </rPr>
          <t>LAV SIMPLES:</t>
        </r>
        <r>
          <rPr>
            <b/>
            <sz val="9"/>
            <color indexed="81"/>
            <rFont val="Segoe UI"/>
            <family val="2"/>
          </rPr>
          <t xml:space="preserve"> LAV.CORTESA + LAV/ C ASPIRAÇÃO OU LAV SEM MOTOR.
</t>
        </r>
        <r>
          <rPr>
            <b/>
            <u/>
            <sz val="9"/>
            <color indexed="81"/>
            <rFont val="Segoe UI"/>
            <family val="2"/>
          </rPr>
          <t>LAV.CORTESIA:</t>
        </r>
        <r>
          <rPr>
            <b/>
            <sz val="9"/>
            <color indexed="81"/>
            <rFont val="Segoe UI"/>
            <family val="2"/>
          </rPr>
          <t xml:space="preserve"> DA OK EM TODAS QUE ESTIVEREM EM ANDAMENTO NO FINAL DO MÊS
</t>
        </r>
        <r>
          <rPr>
            <b/>
            <u/>
            <sz val="9"/>
            <color indexed="81"/>
            <rFont val="Segoe UI"/>
            <family val="2"/>
          </rPr>
          <t xml:space="preserve">
CORTESIAS DE OFICINA:</t>
        </r>
        <r>
          <rPr>
            <b/>
            <sz val="9"/>
            <color indexed="81"/>
            <rFont val="Segoe UI"/>
            <family val="2"/>
          </rPr>
          <t xml:space="preserve"> INCLUIR CORTESIAS DE FUNILARIA COM CORTESIA DE OFICINA.
</t>
        </r>
        <r>
          <rPr>
            <b/>
            <u/>
            <sz val="9"/>
            <color indexed="81"/>
            <rFont val="Segoe UI"/>
            <family val="2"/>
          </rPr>
          <t>CORTESIA DE FILME:</t>
        </r>
        <r>
          <rPr>
            <b/>
            <sz val="9"/>
            <color indexed="81"/>
            <rFont val="Segoe UI"/>
            <family val="2"/>
          </rPr>
          <t xml:space="preserve"> SEMPRE DISCRIMINAR OS CÓDIGO DE FILME E O VALOR SEPARADOS NO FECHAMENTO.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u/>
            <sz val="9"/>
            <color indexed="81"/>
            <rFont val="Segoe UI"/>
            <family val="2"/>
          </rPr>
          <t>ENCERAMENTO E POLIMENTO:</t>
        </r>
        <r>
          <rPr>
            <b/>
            <sz val="9"/>
            <color indexed="81"/>
            <rFont val="Segoe UI"/>
            <family val="2"/>
          </rPr>
          <t xml:space="preserve"> CASO TENHA MAIS DE 1 DESSES SERVIÇOS NO MESMO CARRO, TROCAR O DE MENOR VALOR PARA LAV. SIMPLES.</t>
        </r>
      </text>
    </comment>
    <comment ref="A8" authorId="0" shapeId="0" xr:uid="{57EF47C1-F866-48FA-A670-679A2C0968BC}">
      <text>
        <r>
          <rPr>
            <b/>
            <sz val="9"/>
            <color indexed="81"/>
            <rFont val="Segoe UI"/>
            <family val="2"/>
          </rPr>
          <t>Rafael:</t>
        </r>
        <r>
          <rPr>
            <sz val="9"/>
            <color indexed="81"/>
            <rFont val="Segoe UI"/>
            <family val="2"/>
          </rPr>
          <t xml:space="preserve">
       </t>
        </r>
        <r>
          <rPr>
            <b/>
            <sz val="12"/>
            <color indexed="81"/>
            <rFont val="Segoe UI"/>
            <family val="2"/>
          </rPr>
          <t xml:space="preserve">***SOMENTE TOYOTA BOTAFOGO***
                             (ACORDO)
</t>
        </r>
        <r>
          <rPr>
            <b/>
            <sz val="9"/>
            <color indexed="81"/>
            <rFont val="Segoe UI"/>
            <family val="2"/>
          </rPr>
          <t>ACRESCENTAR POLIMENTOS EM 2 CARROS  DE LAV CORTESIA ALEATORIAMENTE
ACRESCENTAR POLIMENTOS EM 5 CARROS DE LAV FUNILARIA ALEATORIAMENTE EM CORTESIA DE OFICINA</t>
        </r>
      </text>
    </comment>
    <comment ref="A17" authorId="0" shapeId="0" xr:uid="{3D16DAEA-3AF3-4284-9F14-3E73A96F97CC}">
      <text>
        <r>
          <rPr>
            <b/>
            <sz val="9"/>
            <color indexed="81"/>
            <rFont val="Segoe UI"/>
            <family val="2"/>
          </rPr>
          <t xml:space="preserve">Rafael: </t>
        </r>
        <r>
          <rPr>
            <b/>
            <sz val="11"/>
            <color indexed="81"/>
            <rFont val="Segoe UI"/>
            <family val="2"/>
          </rPr>
          <t>FUNILARIA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INCLUIR APENAS LAV.FUNILARIA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SERVIÇOS DE FUNILARIA DEVE SEM COLOCADOS JUNTO COM CORTESIA DE OFICINA</t>
        </r>
      </text>
    </comment>
    <comment ref="A23" authorId="0" shapeId="0" xr:uid="{F196DD19-0DEC-4B5D-8F5E-1ACB2738627F}">
      <text>
        <r>
          <rPr>
            <b/>
            <sz val="9"/>
            <color indexed="81"/>
            <rFont val="Segoe UI"/>
            <family val="2"/>
          </rPr>
          <t xml:space="preserve">Rafael: </t>
        </r>
        <r>
          <rPr>
            <b/>
            <sz val="12"/>
            <color indexed="81"/>
            <rFont val="Segoe UI"/>
            <family val="2"/>
          </rPr>
          <t>VN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u/>
            <sz val="9"/>
            <color indexed="81"/>
            <rFont val="Segoe UI"/>
            <family val="2"/>
          </rPr>
          <t xml:space="preserve"> LAV VN:</t>
        </r>
        <r>
          <rPr>
            <b/>
            <sz val="9"/>
            <color indexed="81"/>
            <rFont val="Segoe UI"/>
            <family val="2"/>
          </rPr>
          <t xml:space="preserve"> NUMERO DE CARROS VENDIDOS
</t>
        </r>
        <r>
          <rPr>
            <b/>
            <u/>
            <sz val="9"/>
            <color indexed="81"/>
            <rFont val="Segoe UI"/>
            <family val="2"/>
          </rPr>
          <t>SERVIÇOS VN:</t>
        </r>
        <r>
          <rPr>
            <b/>
            <sz val="9"/>
            <color indexed="81"/>
            <rFont val="Segoe UI"/>
            <family val="2"/>
          </rPr>
          <t xml:space="preserve"> PREENCHER DE ACORDO COM LANÇAMENTOS
</t>
        </r>
        <r>
          <rPr>
            <b/>
            <u/>
            <sz val="9"/>
            <color indexed="81"/>
            <rFont val="Segoe UI"/>
            <family val="2"/>
          </rPr>
          <t>VENDA DIRETA:</t>
        </r>
        <r>
          <rPr>
            <b/>
            <sz val="9"/>
            <color indexed="81"/>
            <rFont val="Segoe UI"/>
            <family val="2"/>
          </rPr>
          <t xml:space="preserve"> DISCRIMINAR NOS LANÇAMENTOS OS CARROS DE VENDA DIRETA E SEPARAR</t>
        </r>
      </text>
    </comment>
    <comment ref="A37" authorId="0" shapeId="0" xr:uid="{D43A3F96-2876-4FED-8F47-D7D47D2B90D0}">
      <text>
        <r>
          <rPr>
            <b/>
            <sz val="9"/>
            <color indexed="81"/>
            <rFont val="Segoe UI"/>
            <family val="2"/>
          </rPr>
          <t xml:space="preserve">Rafael: </t>
        </r>
        <r>
          <rPr>
            <b/>
            <sz val="12"/>
            <color indexed="81"/>
            <rFont val="Segoe UI"/>
            <family val="2"/>
          </rPr>
          <t>VU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u/>
            <sz val="9"/>
            <color indexed="81"/>
            <rFont val="Segoe UI"/>
            <family val="2"/>
          </rPr>
          <t xml:space="preserve">
</t>
        </r>
        <r>
          <rPr>
            <b/>
            <u/>
            <sz val="9"/>
            <color indexed="81"/>
            <rFont val="Segoe UI"/>
            <family val="2"/>
          </rPr>
          <t>LAV VN:</t>
        </r>
        <r>
          <rPr>
            <b/>
            <sz val="9"/>
            <color indexed="81"/>
            <rFont val="Segoe UI"/>
            <family val="2"/>
          </rPr>
          <t xml:space="preserve"> NUMERO DE CARROS VENDIDOS
</t>
        </r>
        <r>
          <rPr>
            <b/>
            <u/>
            <sz val="9"/>
            <color indexed="81"/>
            <rFont val="Segoe UI"/>
            <family val="2"/>
          </rPr>
          <t>SERVIÇOS VN:</t>
        </r>
        <r>
          <rPr>
            <b/>
            <sz val="9"/>
            <color indexed="81"/>
            <rFont val="Segoe UI"/>
            <family val="2"/>
          </rPr>
          <t xml:space="preserve"> PREENCHER DE ACORDO COM LANÇAMENTOS
</t>
        </r>
        <r>
          <rPr>
            <b/>
            <u/>
            <sz val="9"/>
            <color indexed="81"/>
            <rFont val="Segoe UI"/>
            <family val="2"/>
          </rPr>
          <t xml:space="preserve">
VENDA DIRETA:</t>
        </r>
        <r>
          <rPr>
            <b/>
            <sz val="9"/>
            <color indexed="81"/>
            <rFont val="Segoe UI"/>
            <family val="2"/>
          </rPr>
          <t xml:space="preserve"> DISCRIMINAR NOS LANÇAMENTOS OS CARROS DE VENDA DIRETA E SEPARAR</t>
        </r>
      </text>
    </comment>
  </commentList>
</comments>
</file>

<file path=xl/sharedStrings.xml><?xml version="1.0" encoding="utf-8"?>
<sst xmlns="http://schemas.openxmlformats.org/spreadsheetml/2006/main" count="45" uniqueCount="32">
  <si>
    <t>RESUMO FECHAMENTO</t>
  </si>
  <si>
    <t>-</t>
  </si>
  <si>
    <t>"NOME DA LOJA"</t>
  </si>
  <si>
    <t>"MÊS/ANO"</t>
  </si>
  <si>
    <t>OFICINA</t>
  </si>
  <si>
    <t>SERVIÇOS OFICINA</t>
  </si>
  <si>
    <t>LAV SIMPLES</t>
  </si>
  <si>
    <t>QNT</t>
  </si>
  <si>
    <t>TOTAL</t>
  </si>
  <si>
    <t>FAT/ WASH (50%)</t>
  </si>
  <si>
    <t>CORTESIAS DE OFICINA</t>
  </si>
  <si>
    <t>TOTAL CORTESIA</t>
  </si>
  <si>
    <t>TOTAL OFICINA</t>
  </si>
  <si>
    <t>FUNILARIA</t>
  </si>
  <si>
    <t>LAV.FUNI</t>
  </si>
  <si>
    <t>TOTAL FUNILARIA</t>
  </si>
  <si>
    <t>NOVOS - VN</t>
  </si>
  <si>
    <t>SERVIÇOS VN</t>
  </si>
  <si>
    <t>LAV VN</t>
  </si>
  <si>
    <t>LAV COMPLETA</t>
  </si>
  <si>
    <t>LAV TEST DRIVE</t>
  </si>
  <si>
    <t>DUCHA</t>
  </si>
  <si>
    <t>TOTAL LAV</t>
  </si>
  <si>
    <t>VENDA DIRETA - VN</t>
  </si>
  <si>
    <t>TOTAL V. DIRETA</t>
  </si>
  <si>
    <t>USADOS - VU</t>
  </si>
  <si>
    <t>SERVIÇOS VU</t>
  </si>
  <si>
    <t>LAV VU</t>
  </si>
  <si>
    <t>RESUMO FATURAMENTO</t>
  </si>
  <si>
    <t>VN + VD</t>
  </si>
  <si>
    <t>VU</t>
  </si>
  <si>
    <t>OBSERVAÇÃO: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</si>
</sst>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b/>
      <sz val="15"/>
      <color theme="1" tint="0.14999847407452621"/>
      <name val="Calibri"/>
      <family val="2"/>
      <scheme val="minor"/>
    </font>
    <font>
      <b/>
      <sz val="13"/>
      <color theme="1" tint="0.1499984740745262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9"/>
      <color indexed="81"/>
      <name val="Segoe UI"/>
      <family val="2"/>
    </font>
    <font>
      <b/>
      <u/>
      <sz val="9"/>
      <color indexed="81"/>
      <name val="Segoe UI"/>
      <family val="2"/>
    </font>
    <font>
      <b/>
      <sz val="11"/>
      <color indexed="81"/>
      <name val="Segoe UI"/>
      <family val="2"/>
    </font>
    <font>
      <b/>
      <sz val="12"/>
      <color indexed="81"/>
      <name val="Segoe UI"/>
      <family val="2"/>
    </font>
    <font>
      <b/>
      <sz val="10"/>
      <color theme="1" tint="0.149998474074526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AB6B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43" fontId="5" fillId="4" borderId="8" xfId="1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3" fontId="5" fillId="4" borderId="5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43" fontId="5" fillId="4" borderId="19" xfId="1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43" fontId="5" fillId="4" borderId="16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5" fillId="0" borderId="0" xfId="1" applyFont="1" applyFill="1" applyBorder="1" applyAlignment="1">
      <alignment horizontal="center" vertical="center"/>
    </xf>
    <xf numFmtId="43" fontId="5" fillId="0" borderId="0" xfId="1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44" fontId="5" fillId="6" borderId="10" xfId="1" applyFont="1" applyFill="1" applyBorder="1" applyAlignment="1">
      <alignment horizontal="center" vertical="center"/>
    </xf>
    <xf numFmtId="44" fontId="5" fillId="6" borderId="11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4" fontId="5" fillId="6" borderId="2" xfId="1" applyFont="1" applyFill="1" applyBorder="1" applyAlignment="1">
      <alignment horizontal="center" vertical="center"/>
    </xf>
    <xf numFmtId="44" fontId="5" fillId="6" borderId="3" xfId="1" applyFont="1" applyFill="1" applyBorder="1" applyAlignment="1">
      <alignment horizontal="center" vertical="center"/>
    </xf>
    <xf numFmtId="44" fontId="5" fillId="6" borderId="0" xfId="1" applyFont="1" applyFill="1" applyBorder="1" applyAlignment="1">
      <alignment horizontal="center" vertical="center"/>
    </xf>
    <xf numFmtId="44" fontId="5" fillId="6" borderId="5" xfId="1" applyFont="1" applyFill="1" applyBorder="1" applyAlignment="1">
      <alignment horizontal="center" vertical="center"/>
    </xf>
    <xf numFmtId="44" fontId="5" fillId="6" borderId="7" xfId="1" applyFont="1" applyFill="1" applyBorder="1" applyAlignment="1">
      <alignment horizontal="center" vertical="center"/>
    </xf>
    <xf numFmtId="44" fontId="5" fillId="6" borderId="8" xfId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44" fontId="5" fillId="4" borderId="7" xfId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44" fontId="5" fillId="6" borderId="22" xfId="1" applyFont="1" applyFill="1" applyBorder="1" applyAlignment="1">
      <alignment horizontal="center" vertical="center"/>
    </xf>
    <xf numFmtId="44" fontId="5" fillId="6" borderId="23" xfId="1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44" fontId="5" fillId="6" borderId="25" xfId="1" applyFont="1" applyFill="1" applyBorder="1" applyAlignment="1">
      <alignment horizontal="center" vertical="center"/>
    </xf>
    <xf numFmtId="44" fontId="5" fillId="6" borderId="26" xfId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44" fontId="5" fillId="6" borderId="36" xfId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43" fontId="5" fillId="4" borderId="36" xfId="1" applyNumberFormat="1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44" fontId="5" fillId="6" borderId="22" xfId="0" applyNumberFormat="1" applyFont="1" applyFill="1" applyBorder="1" applyAlignment="1">
      <alignment horizontal="center" vertical="center"/>
    </xf>
    <xf numFmtId="44" fontId="5" fillId="6" borderId="37" xfId="0" applyNumberFormat="1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43" fontId="5" fillId="4" borderId="32" xfId="1" applyNumberFormat="1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6" fillId="2" borderId="17" xfId="0" applyFont="1" applyFill="1" applyBorder="1" applyAlignment="1">
      <alignment horizontal="center" vertical="center"/>
    </xf>
    <xf numFmtId="44" fontId="5" fillId="6" borderId="37" xfId="1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44" fontId="5" fillId="4" borderId="19" xfId="1" applyFont="1" applyFill="1" applyBorder="1" applyAlignment="1">
      <alignment horizontal="center" vertical="center"/>
    </xf>
    <xf numFmtId="44" fontId="9" fillId="6" borderId="20" xfId="0" applyNumberFormat="1" applyFont="1" applyFill="1" applyBorder="1" applyAlignment="1">
      <alignment horizontal="center" vertical="center"/>
    </xf>
    <xf numFmtId="44" fontId="9" fillId="6" borderId="16" xfId="0" applyNumberFormat="1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2" fillId="0" borderId="0" xfId="0" quotePrefix="1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BAB6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showGridLines="0" tabSelected="1" view="pageBreakPreview" topLeftCell="A20" zoomScaleNormal="100" zoomScaleSheetLayoutView="100" zoomScalePageLayoutView="130" workbookViewId="0">
      <selection activeCell="L28" sqref="L28"/>
    </sheetView>
  </sheetViews>
  <sheetFormatPr defaultRowHeight="15"/>
  <cols>
    <col min="1" max="1" width="5" style="3" customWidth="1"/>
    <col min="2" max="2" width="14.5703125" style="3" customWidth="1"/>
    <col min="3" max="3" width="5" style="3" customWidth="1"/>
    <col min="4" max="4" width="14.5703125" style="3" customWidth="1"/>
    <col min="5" max="5" width="5" style="3" customWidth="1"/>
    <col min="6" max="6" width="14.5703125" style="3" customWidth="1"/>
    <col min="7" max="7" width="0.85546875" style="3" customWidth="1"/>
    <col min="8" max="8" width="5" style="3" customWidth="1"/>
    <col min="9" max="9" width="14.5703125" style="3" customWidth="1"/>
    <col min="10" max="10" width="5" style="3" customWidth="1"/>
    <col min="11" max="11" width="14.5703125" style="3" customWidth="1"/>
    <col min="12" max="12" width="9.140625" style="88"/>
    <col min="13" max="15" width="9.140625" style="3"/>
    <col min="16" max="16" width="6.5703125" style="3" customWidth="1"/>
    <col min="17" max="16384" width="9.140625" style="3"/>
  </cols>
  <sheetData>
    <row r="1" spans="1:21" ht="28.5" customHeight="1">
      <c r="A1" s="113" t="s">
        <v>0</v>
      </c>
      <c r="B1" s="113"/>
      <c r="C1" s="113"/>
      <c r="D1" s="113"/>
      <c r="E1" s="134" t="s">
        <v>1</v>
      </c>
      <c r="F1" s="135" t="s">
        <v>2</v>
      </c>
      <c r="G1" s="135"/>
      <c r="H1" s="135"/>
      <c r="I1" s="135"/>
      <c r="J1" s="114" t="s">
        <v>3</v>
      </c>
      <c r="K1" s="114"/>
      <c r="L1" s="87"/>
      <c r="M1" s="1"/>
      <c r="N1" s="1"/>
      <c r="O1" s="1"/>
      <c r="P1" s="23"/>
      <c r="Q1" s="2"/>
      <c r="R1" s="2"/>
      <c r="S1" s="2"/>
      <c r="T1" s="25"/>
      <c r="U1" s="25"/>
    </row>
    <row r="2" spans="1:21" ht="21">
      <c r="A2" s="90" t="s">
        <v>4</v>
      </c>
      <c r="B2" s="91"/>
      <c r="C2" s="91"/>
      <c r="D2" s="91"/>
      <c r="E2" s="91"/>
      <c r="F2" s="91"/>
      <c r="G2" s="91"/>
      <c r="H2" s="91"/>
      <c r="I2" s="91"/>
      <c r="J2" s="91"/>
      <c r="K2" s="92"/>
    </row>
    <row r="3" spans="1:21" ht="6" customHeight="1">
      <c r="A3" s="93"/>
      <c r="B3" s="88"/>
      <c r="C3" s="88"/>
      <c r="D3" s="88"/>
      <c r="E3" s="88"/>
      <c r="F3" s="88"/>
      <c r="G3" s="88"/>
      <c r="H3" s="88"/>
      <c r="I3" s="88"/>
      <c r="J3" s="88"/>
      <c r="K3" s="94"/>
    </row>
    <row r="4" spans="1:21" ht="21">
      <c r="A4" s="95" t="s">
        <v>5</v>
      </c>
      <c r="B4" s="30"/>
      <c r="C4" s="30"/>
      <c r="D4" s="30"/>
      <c r="E4" s="30"/>
      <c r="F4" s="31"/>
      <c r="G4" s="88"/>
      <c r="H4" s="29" t="s">
        <v>6</v>
      </c>
      <c r="I4" s="30"/>
      <c r="J4" s="30"/>
      <c r="K4" s="96"/>
    </row>
    <row r="5" spans="1:21" ht="15.75" customHeight="1">
      <c r="A5" s="97" t="s">
        <v>7</v>
      </c>
      <c r="B5" s="98" t="s">
        <v>8</v>
      </c>
      <c r="C5" s="98"/>
      <c r="D5" s="98" t="s">
        <v>9</v>
      </c>
      <c r="E5" s="98"/>
      <c r="F5" s="66"/>
      <c r="G5" s="88"/>
      <c r="H5" s="5" t="s">
        <v>7</v>
      </c>
      <c r="I5" s="99" t="s">
        <v>8</v>
      </c>
      <c r="J5" s="99"/>
      <c r="K5" s="100"/>
    </row>
    <row r="6" spans="1:21" ht="15.75">
      <c r="A6" s="101"/>
      <c r="B6" s="67"/>
      <c r="C6" s="67"/>
      <c r="D6" s="59">
        <f>B6*0.5</f>
        <v>0</v>
      </c>
      <c r="E6" s="59"/>
      <c r="F6" s="60"/>
      <c r="G6" s="88"/>
      <c r="H6" s="22"/>
      <c r="I6" s="59"/>
      <c r="J6" s="59"/>
      <c r="K6" s="102"/>
    </row>
    <row r="7" spans="1:21" ht="6.75" customHeight="1">
      <c r="A7" s="93"/>
      <c r="B7" s="88"/>
      <c r="C7" s="88"/>
      <c r="D7" s="88"/>
      <c r="E7" s="88"/>
      <c r="F7" s="88"/>
      <c r="G7" s="88"/>
      <c r="H7" s="88"/>
      <c r="I7" s="88"/>
      <c r="J7" s="88"/>
      <c r="K7" s="94"/>
    </row>
    <row r="8" spans="1:21" ht="21">
      <c r="A8" s="103" t="s">
        <v>10</v>
      </c>
      <c r="B8" s="40"/>
      <c r="C8" s="40"/>
      <c r="D8" s="40"/>
      <c r="E8" s="40"/>
      <c r="F8" s="40"/>
      <c r="G8" s="40"/>
      <c r="H8" s="40"/>
      <c r="I8" s="40"/>
      <c r="J8" s="40"/>
      <c r="K8" s="104"/>
    </row>
    <row r="9" spans="1:21" ht="15" customHeight="1">
      <c r="A9" s="74"/>
      <c r="B9" s="37"/>
      <c r="C9" s="36"/>
      <c r="D9" s="37"/>
      <c r="E9" s="36"/>
      <c r="F9" s="37"/>
      <c r="G9" s="44"/>
      <c r="H9" s="45"/>
      <c r="I9" s="46"/>
      <c r="J9" s="36"/>
      <c r="K9" s="73"/>
    </row>
    <row r="10" spans="1:21" ht="16.5" customHeight="1">
      <c r="A10" s="101"/>
      <c r="B10" s="6"/>
      <c r="C10" s="22"/>
      <c r="D10" s="6"/>
      <c r="E10" s="22"/>
      <c r="F10" s="6"/>
      <c r="G10" s="47"/>
      <c r="H10" s="48"/>
      <c r="I10" s="6"/>
      <c r="J10" s="22"/>
      <c r="K10" s="105"/>
    </row>
    <row r="11" spans="1:21" ht="15" customHeight="1">
      <c r="A11" s="74"/>
      <c r="B11" s="37"/>
      <c r="C11" s="36"/>
      <c r="D11" s="37"/>
      <c r="E11" s="36"/>
      <c r="F11" s="37"/>
      <c r="G11" s="44"/>
      <c r="H11" s="45"/>
      <c r="I11" s="46"/>
      <c r="J11" s="36"/>
      <c r="K11" s="73"/>
    </row>
    <row r="12" spans="1:21" ht="15.75">
      <c r="A12" s="101"/>
      <c r="B12" s="6"/>
      <c r="C12" s="22"/>
      <c r="D12" s="6"/>
      <c r="E12" s="22"/>
      <c r="F12" s="6"/>
      <c r="G12" s="61"/>
      <c r="H12" s="62"/>
      <c r="I12" s="6"/>
      <c r="J12" s="22"/>
      <c r="K12" s="105"/>
    </row>
    <row r="13" spans="1:21" ht="15" customHeight="1">
      <c r="A13" s="74"/>
      <c r="B13" s="37"/>
      <c r="C13" s="36"/>
      <c r="D13" s="37"/>
      <c r="E13" s="36"/>
      <c r="F13" s="37"/>
      <c r="G13" s="63"/>
      <c r="H13" s="64"/>
      <c r="I13" s="65"/>
      <c r="J13" s="36"/>
      <c r="K13" s="73"/>
    </row>
    <row r="14" spans="1:21" ht="15.75">
      <c r="A14" s="106"/>
      <c r="B14" s="8"/>
      <c r="C14" s="7"/>
      <c r="D14" s="8"/>
      <c r="E14" s="22"/>
      <c r="F14" s="6"/>
      <c r="G14" s="61"/>
      <c r="H14" s="62"/>
      <c r="I14" s="6"/>
      <c r="J14" s="22"/>
      <c r="K14" s="105"/>
    </row>
    <row r="15" spans="1:21" ht="15.75">
      <c r="A15" s="107" t="s">
        <v>11</v>
      </c>
      <c r="B15" s="108"/>
      <c r="C15" s="109">
        <f>SUM(B14,D14,F14,I14,K14,K12,I12,F12,D12,B12,D10,F10,I10,K10,B10)</f>
        <v>0</v>
      </c>
      <c r="D15" s="110"/>
      <c r="E15" s="111" t="s">
        <v>12</v>
      </c>
      <c r="F15" s="108"/>
      <c r="G15" s="112"/>
      <c r="H15" s="112"/>
      <c r="I15" s="112"/>
      <c r="J15" s="71">
        <f>SUM(C15,I6,D6)</f>
        <v>0</v>
      </c>
      <c r="K15" s="72"/>
    </row>
    <row r="16" spans="1:21" ht="12" customHeight="1">
      <c r="A16" s="9"/>
      <c r="B16" s="9"/>
      <c r="C16" s="9"/>
      <c r="D16" s="9"/>
      <c r="E16" s="10"/>
      <c r="F16" s="10"/>
      <c r="H16" s="25"/>
      <c r="I16" s="25"/>
      <c r="J16" s="25"/>
    </row>
    <row r="17" spans="1:12" ht="21">
      <c r="A17" s="29" t="s">
        <v>13</v>
      </c>
      <c r="B17" s="30"/>
      <c r="C17" s="30"/>
      <c r="D17" s="30"/>
      <c r="E17" s="30"/>
      <c r="F17" s="30"/>
      <c r="G17" s="30"/>
      <c r="H17" s="30"/>
      <c r="I17" s="30"/>
      <c r="J17" s="30"/>
      <c r="K17" s="31"/>
    </row>
    <row r="18" spans="1:12" ht="6.75" customHeight="1">
      <c r="A18" s="4"/>
      <c r="K18" s="88"/>
    </row>
    <row r="19" spans="1:12" ht="15.75" customHeight="1">
      <c r="A19" s="36" t="s">
        <v>14</v>
      </c>
      <c r="B19" s="37"/>
      <c r="C19" s="36"/>
      <c r="D19" s="37"/>
      <c r="E19" s="36"/>
      <c r="F19" s="37"/>
      <c r="H19" s="49" t="s">
        <v>15</v>
      </c>
      <c r="I19" s="50"/>
      <c r="J19" s="55">
        <f>SUM(C21)</f>
        <v>0</v>
      </c>
      <c r="K19" s="56"/>
    </row>
    <row r="20" spans="1:12" ht="15.75">
      <c r="A20" s="22"/>
      <c r="B20" s="6">
        <f>A20*60</f>
        <v>0</v>
      </c>
      <c r="C20" s="22"/>
      <c r="D20" s="6"/>
      <c r="E20" s="22"/>
      <c r="F20" s="6"/>
      <c r="H20" s="51"/>
      <c r="I20" s="52"/>
      <c r="J20" s="57"/>
      <c r="K20" s="58"/>
    </row>
    <row r="21" spans="1:12" ht="15.75">
      <c r="A21" s="26" t="s">
        <v>8</v>
      </c>
      <c r="B21" s="27"/>
      <c r="C21" s="38">
        <f>SUM(F20,D20,B20)</f>
        <v>0</v>
      </c>
      <c r="D21" s="38"/>
      <c r="E21" s="38"/>
      <c r="F21" s="39"/>
      <c r="H21" s="53"/>
      <c r="I21" s="54"/>
      <c r="J21" s="59"/>
      <c r="K21" s="60"/>
    </row>
    <row r="22" spans="1:12" ht="12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</row>
    <row r="23" spans="1:12" ht="21">
      <c r="A23" s="90" t="s">
        <v>16</v>
      </c>
      <c r="B23" s="91"/>
      <c r="C23" s="91"/>
      <c r="D23" s="91"/>
      <c r="E23" s="91"/>
      <c r="F23" s="91"/>
      <c r="G23" s="91"/>
      <c r="H23" s="91"/>
      <c r="I23" s="91"/>
      <c r="J23" s="91"/>
      <c r="K23" s="92"/>
    </row>
    <row r="24" spans="1:12" ht="7.5" customHeight="1">
      <c r="A24" s="93"/>
      <c r="B24" s="88"/>
      <c r="C24" s="88"/>
      <c r="D24" s="88"/>
      <c r="E24" s="88"/>
      <c r="F24" s="88"/>
      <c r="G24" s="88"/>
      <c r="H24" s="88"/>
      <c r="I24" s="88"/>
      <c r="J24" s="88"/>
      <c r="K24" s="94"/>
    </row>
    <row r="25" spans="1:12" s="11" customFormat="1" ht="18.75">
      <c r="A25" s="41" t="s">
        <v>17</v>
      </c>
      <c r="B25" s="42"/>
      <c r="C25" s="42"/>
      <c r="D25" s="42"/>
      <c r="E25" s="42"/>
      <c r="F25" s="43"/>
      <c r="G25" s="89"/>
      <c r="H25" s="34" t="s">
        <v>18</v>
      </c>
      <c r="I25" s="35"/>
      <c r="J25" s="35"/>
      <c r="K25" s="115"/>
      <c r="L25" s="89"/>
    </row>
    <row r="26" spans="1:12" ht="15.75" customHeight="1">
      <c r="A26" s="74"/>
      <c r="B26" s="37"/>
      <c r="C26" s="36"/>
      <c r="D26" s="37"/>
      <c r="E26" s="36"/>
      <c r="F26" s="73"/>
      <c r="G26" s="88"/>
      <c r="H26" s="36" t="s">
        <v>6</v>
      </c>
      <c r="I26" s="37"/>
      <c r="J26" s="36" t="s">
        <v>19</v>
      </c>
      <c r="K26" s="73"/>
    </row>
    <row r="27" spans="1:12" ht="16.5" customHeight="1">
      <c r="A27" s="12"/>
      <c r="B27" s="13"/>
      <c r="C27" s="14"/>
      <c r="D27" s="13"/>
      <c r="E27" s="14"/>
      <c r="F27" s="15"/>
      <c r="G27" s="88"/>
      <c r="H27" s="14"/>
      <c r="I27" s="13">
        <f>H27*26</f>
        <v>0</v>
      </c>
      <c r="J27" s="14"/>
      <c r="K27" s="15">
        <f>J27*38</f>
        <v>0</v>
      </c>
    </row>
    <row r="28" spans="1:12" ht="16.5" customHeight="1">
      <c r="A28" s="74"/>
      <c r="B28" s="37"/>
      <c r="C28" s="36"/>
      <c r="D28" s="37"/>
      <c r="E28" s="36"/>
      <c r="F28" s="73"/>
      <c r="G28" s="88"/>
      <c r="H28" s="36" t="s">
        <v>20</v>
      </c>
      <c r="I28" s="37"/>
      <c r="J28" s="36" t="s">
        <v>21</v>
      </c>
      <c r="K28" s="73"/>
    </row>
    <row r="29" spans="1:12" ht="16.5" customHeight="1">
      <c r="A29" s="12"/>
      <c r="B29" s="13"/>
      <c r="C29" s="14"/>
      <c r="D29" s="13"/>
      <c r="E29" s="14"/>
      <c r="F29" s="15"/>
      <c r="G29" s="88"/>
      <c r="H29" s="7"/>
      <c r="I29" s="8">
        <f>H29*26</f>
        <v>0</v>
      </c>
      <c r="J29" s="7"/>
      <c r="K29" s="116"/>
    </row>
    <row r="30" spans="1:12" ht="16.5" customHeight="1">
      <c r="A30" s="69" t="s">
        <v>8</v>
      </c>
      <c r="B30" s="70"/>
      <c r="C30" s="71">
        <f>SUM(F29,D29,B29,B27,D27,F27)</f>
        <v>0</v>
      </c>
      <c r="D30" s="71"/>
      <c r="E30" s="71"/>
      <c r="F30" s="72"/>
      <c r="G30" s="117"/>
      <c r="H30" s="83" t="s">
        <v>22</v>
      </c>
      <c r="I30" s="84"/>
      <c r="J30" s="85">
        <f>SUM(K29,I29,K27,I27)</f>
        <v>0</v>
      </c>
      <c r="K30" s="86"/>
    </row>
    <row r="31" spans="1:12" ht="11.25" customHeight="1">
      <c r="A31" s="24"/>
      <c r="B31" s="18"/>
      <c r="C31" s="16"/>
      <c r="D31" s="18"/>
      <c r="E31" s="16"/>
      <c r="F31" s="18"/>
      <c r="H31" s="19"/>
      <c r="I31" s="17"/>
      <c r="J31" s="17"/>
      <c r="K31" s="17"/>
    </row>
    <row r="32" spans="1:12" ht="18.75">
      <c r="A32" s="128" t="s">
        <v>23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30"/>
    </row>
    <row r="33" spans="1:12" ht="15.75" customHeight="1">
      <c r="A33" s="74"/>
      <c r="B33" s="37"/>
      <c r="C33" s="36"/>
      <c r="D33" s="37"/>
      <c r="E33" s="36"/>
      <c r="F33" s="37"/>
      <c r="G33" s="63"/>
      <c r="H33" s="64"/>
      <c r="I33" s="65"/>
      <c r="J33" s="36"/>
      <c r="K33" s="73"/>
    </row>
    <row r="34" spans="1:12" ht="15.75">
      <c r="A34" s="106"/>
      <c r="B34" s="8"/>
      <c r="C34" s="7"/>
      <c r="D34" s="8"/>
      <c r="E34" s="7"/>
      <c r="F34" s="8"/>
      <c r="G34" s="68"/>
      <c r="H34" s="131"/>
      <c r="I34" s="8"/>
      <c r="J34" s="7"/>
      <c r="K34" s="116"/>
    </row>
    <row r="35" spans="1:12" ht="19.5">
      <c r="A35" s="132" t="s">
        <v>24</v>
      </c>
      <c r="B35" s="133"/>
      <c r="C35" s="133"/>
      <c r="D35" s="133"/>
      <c r="E35" s="133"/>
      <c r="F35" s="133"/>
      <c r="G35" s="133"/>
      <c r="H35" s="133"/>
      <c r="I35" s="71">
        <f>SUM(K34,I34,F34,D34,B34)</f>
        <v>0</v>
      </c>
      <c r="J35" s="71"/>
      <c r="K35" s="72"/>
    </row>
    <row r="36" spans="1:12" ht="11.25" customHeight="1">
      <c r="G36" s="28"/>
      <c r="H36" s="28"/>
      <c r="I36" s="16"/>
    </row>
    <row r="37" spans="1:12" ht="21">
      <c r="A37" s="90" t="s">
        <v>25</v>
      </c>
      <c r="B37" s="91"/>
      <c r="C37" s="91"/>
      <c r="D37" s="91"/>
      <c r="E37" s="91"/>
      <c r="F37" s="91"/>
      <c r="G37" s="91"/>
      <c r="H37" s="91"/>
      <c r="I37" s="91"/>
      <c r="J37" s="91"/>
      <c r="K37" s="92"/>
    </row>
    <row r="38" spans="1:12" ht="8.25" customHeight="1">
      <c r="A38" s="93"/>
      <c r="B38" s="88"/>
      <c r="C38" s="88"/>
      <c r="D38" s="88"/>
      <c r="E38" s="88"/>
      <c r="F38" s="88"/>
      <c r="G38" s="88"/>
      <c r="H38" s="88"/>
      <c r="I38" s="88"/>
      <c r="J38" s="88"/>
      <c r="K38" s="94"/>
    </row>
    <row r="39" spans="1:12" s="11" customFormat="1" ht="18.75">
      <c r="A39" s="118" t="s">
        <v>26</v>
      </c>
      <c r="B39" s="32"/>
      <c r="C39" s="32"/>
      <c r="D39" s="32"/>
      <c r="E39" s="32"/>
      <c r="F39" s="33"/>
      <c r="G39" s="89"/>
      <c r="H39" s="34" t="s">
        <v>27</v>
      </c>
      <c r="I39" s="35"/>
      <c r="J39" s="35"/>
      <c r="K39" s="115"/>
      <c r="L39" s="89"/>
    </row>
    <row r="40" spans="1:12">
      <c r="A40" s="74"/>
      <c r="B40" s="37"/>
      <c r="C40" s="36"/>
      <c r="D40" s="37"/>
      <c r="E40" s="36"/>
      <c r="F40" s="37"/>
      <c r="G40" s="88"/>
      <c r="H40" s="36" t="s">
        <v>6</v>
      </c>
      <c r="I40" s="37"/>
      <c r="J40" s="36" t="s">
        <v>19</v>
      </c>
      <c r="K40" s="73"/>
    </row>
    <row r="41" spans="1:12" ht="15.75">
      <c r="A41" s="101"/>
      <c r="B41" s="6"/>
      <c r="C41" s="22"/>
      <c r="D41" s="6"/>
      <c r="E41" s="22"/>
      <c r="F41" s="6"/>
      <c r="G41" s="88"/>
      <c r="H41" s="14"/>
      <c r="I41" s="13"/>
      <c r="J41" s="14"/>
      <c r="K41" s="15"/>
    </row>
    <row r="42" spans="1:12" ht="15" customHeight="1">
      <c r="A42" s="74"/>
      <c r="B42" s="37"/>
      <c r="C42" s="36"/>
      <c r="D42" s="37"/>
      <c r="E42" s="36"/>
      <c r="F42" s="37"/>
      <c r="G42" s="88"/>
      <c r="H42" s="36" t="s">
        <v>21</v>
      </c>
      <c r="I42" s="37"/>
      <c r="J42" s="36"/>
      <c r="K42" s="73"/>
    </row>
    <row r="43" spans="1:12" ht="16.5" customHeight="1">
      <c r="A43" s="101"/>
      <c r="B43" s="6"/>
      <c r="C43" s="22"/>
      <c r="D43" s="6"/>
      <c r="E43" s="22"/>
      <c r="F43" s="6"/>
      <c r="G43" s="88"/>
      <c r="H43" s="7"/>
      <c r="I43" s="8"/>
      <c r="J43" s="7"/>
      <c r="K43" s="116"/>
    </row>
    <row r="44" spans="1:12" ht="16.5" customHeight="1">
      <c r="A44" s="107" t="s">
        <v>8</v>
      </c>
      <c r="B44" s="108"/>
      <c r="C44" s="71">
        <f>SUM(F43,D43,B43,F41,D41,B41)</f>
        <v>0</v>
      </c>
      <c r="D44" s="71"/>
      <c r="E44" s="71"/>
      <c r="F44" s="119"/>
      <c r="G44" s="120"/>
      <c r="H44" s="83" t="s">
        <v>22</v>
      </c>
      <c r="I44" s="84"/>
      <c r="J44" s="85">
        <f>SUM(K43,I43,K41,I41)</f>
        <v>0</v>
      </c>
      <c r="K44" s="86"/>
    </row>
    <row r="45" spans="1:12" ht="12" customHeight="1"/>
    <row r="46" spans="1:12" ht="21">
      <c r="A46" s="90" t="s">
        <v>28</v>
      </c>
      <c r="B46" s="91"/>
      <c r="C46" s="91"/>
      <c r="D46" s="91"/>
      <c r="E46" s="91"/>
      <c r="F46" s="91"/>
      <c r="G46" s="91"/>
      <c r="H46" s="91"/>
      <c r="I46" s="91"/>
      <c r="J46" s="91"/>
      <c r="K46" s="92"/>
    </row>
    <row r="47" spans="1:12" ht="18.75">
      <c r="A47" s="121" t="s">
        <v>4</v>
      </c>
      <c r="B47" s="66"/>
      <c r="C47" s="75" t="s">
        <v>13</v>
      </c>
      <c r="D47" s="66"/>
      <c r="E47" s="75" t="s">
        <v>29</v>
      </c>
      <c r="F47" s="66"/>
      <c r="G47" s="75" t="s">
        <v>30</v>
      </c>
      <c r="H47" s="98"/>
      <c r="I47" s="66"/>
      <c r="J47" s="82" t="s">
        <v>8</v>
      </c>
      <c r="K47" s="122"/>
    </row>
    <row r="48" spans="1:12" ht="17.25">
      <c r="A48" s="12">
        <f>SUM(A6,A10,A12,A14,C10,C12,C14,E10,E12,E14,G10,G12,G14,J10,J12,J14,H6)</f>
        <v>0</v>
      </c>
      <c r="B48" s="13">
        <f>J15</f>
        <v>0</v>
      </c>
      <c r="C48" s="14">
        <f>SUM(A20,C20,E20)</f>
        <v>0</v>
      </c>
      <c r="D48" s="13">
        <f>J19</f>
        <v>0</v>
      </c>
      <c r="E48" s="14">
        <f>SUM(A27,C27,E27,A34,C34,E34,G34,J34,A29,C29,E29,H27)</f>
        <v>0</v>
      </c>
      <c r="F48" s="13">
        <f>J30+I35+C30</f>
        <v>0</v>
      </c>
      <c r="G48" s="123">
        <f>SUM(A43,A41,C41,C43,E41,E43,H41)</f>
        <v>0</v>
      </c>
      <c r="H48" s="124"/>
      <c r="I48" s="125">
        <f>J44+C44</f>
        <v>0</v>
      </c>
      <c r="J48" s="126">
        <f>SUM(I48,F48,D48,B48)</f>
        <v>0</v>
      </c>
      <c r="K48" s="127"/>
    </row>
    <row r="50" spans="1:11" ht="33" customHeight="1">
      <c r="A50" s="76" t="s">
        <v>31</v>
      </c>
      <c r="B50" s="77"/>
      <c r="C50" s="78"/>
      <c r="D50" s="78"/>
      <c r="E50" s="78"/>
      <c r="F50" s="78"/>
      <c r="G50" s="78"/>
      <c r="H50" s="78"/>
      <c r="I50" s="78"/>
      <c r="J50" s="78"/>
      <c r="K50" s="79"/>
    </row>
    <row r="51" spans="1:11" ht="47.25" customHeight="1">
      <c r="A51" s="20"/>
      <c r="B51" s="21"/>
      <c r="C51" s="80"/>
      <c r="D51" s="80"/>
      <c r="E51" s="80"/>
      <c r="F51" s="80"/>
      <c r="G51" s="80"/>
      <c r="H51" s="80"/>
      <c r="I51" s="80"/>
      <c r="J51" s="80"/>
      <c r="K51" s="81"/>
    </row>
  </sheetData>
  <sortState xmlns:xlrd2="http://schemas.microsoft.com/office/spreadsheetml/2017/richdata2" ref="K74:K84">
    <sortCondition ref="K74"/>
  </sortState>
  <mergeCells count="98">
    <mergeCell ref="F1:I1"/>
    <mergeCell ref="A50:B50"/>
    <mergeCell ref="C50:K51"/>
    <mergeCell ref="A32:K32"/>
    <mergeCell ref="I35:K35"/>
    <mergeCell ref="A35:H35"/>
    <mergeCell ref="A42:B42"/>
    <mergeCell ref="C42:D42"/>
    <mergeCell ref="E42:F42"/>
    <mergeCell ref="C44:F44"/>
    <mergeCell ref="G48:H48"/>
    <mergeCell ref="J47:K47"/>
    <mergeCell ref="J48:K48"/>
    <mergeCell ref="J42:K42"/>
    <mergeCell ref="H44:I44"/>
    <mergeCell ref="J44:K44"/>
    <mergeCell ref="A46:K46"/>
    <mergeCell ref="A47:B47"/>
    <mergeCell ref="C47:D47"/>
    <mergeCell ref="E47:F47"/>
    <mergeCell ref="G47:I47"/>
    <mergeCell ref="C26:D26"/>
    <mergeCell ref="A33:B33"/>
    <mergeCell ref="A30:B30"/>
    <mergeCell ref="C30:F30"/>
    <mergeCell ref="E26:F26"/>
    <mergeCell ref="A26:B26"/>
    <mergeCell ref="E33:F33"/>
    <mergeCell ref="A28:B28"/>
    <mergeCell ref="C28:D28"/>
    <mergeCell ref="E28:F28"/>
    <mergeCell ref="C33:D33"/>
    <mergeCell ref="H26:I26"/>
    <mergeCell ref="H42:I42"/>
    <mergeCell ref="G33:I33"/>
    <mergeCell ref="J33:K33"/>
    <mergeCell ref="G34:H34"/>
    <mergeCell ref="J26:K26"/>
    <mergeCell ref="H28:I28"/>
    <mergeCell ref="J28:K28"/>
    <mergeCell ref="H40:I40"/>
    <mergeCell ref="J40:K40"/>
    <mergeCell ref="J30:K30"/>
    <mergeCell ref="H30:I30"/>
    <mergeCell ref="J15:K15"/>
    <mergeCell ref="B5:C5"/>
    <mergeCell ref="D5:F5"/>
    <mergeCell ref="D6:F6"/>
    <mergeCell ref="B6:C6"/>
    <mergeCell ref="A15:B15"/>
    <mergeCell ref="C15:D15"/>
    <mergeCell ref="E15:F15"/>
    <mergeCell ref="A2:K2"/>
    <mergeCell ref="I5:K5"/>
    <mergeCell ref="I6:K6"/>
    <mergeCell ref="E13:F13"/>
    <mergeCell ref="A1:D1"/>
    <mergeCell ref="J1:K1"/>
    <mergeCell ref="A25:F25"/>
    <mergeCell ref="A23:K23"/>
    <mergeCell ref="J9:K9"/>
    <mergeCell ref="J11:K11"/>
    <mergeCell ref="G9:I9"/>
    <mergeCell ref="G10:H10"/>
    <mergeCell ref="A17:K17"/>
    <mergeCell ref="C13:D13"/>
    <mergeCell ref="A13:B13"/>
    <mergeCell ref="H19:I21"/>
    <mergeCell ref="J19:K21"/>
    <mergeCell ref="G11:I11"/>
    <mergeCell ref="J13:K13"/>
    <mergeCell ref="G12:H12"/>
    <mergeCell ref="G13:I13"/>
    <mergeCell ref="G14:H14"/>
    <mergeCell ref="H25:K25"/>
    <mergeCell ref="H4:K4"/>
    <mergeCell ref="A9:B9"/>
    <mergeCell ref="A22:J22"/>
    <mergeCell ref="E19:F19"/>
    <mergeCell ref="C19:D19"/>
    <mergeCell ref="A19:B19"/>
    <mergeCell ref="A21:B21"/>
    <mergeCell ref="C21:F21"/>
    <mergeCell ref="A4:F4"/>
    <mergeCell ref="E11:F11"/>
    <mergeCell ref="C11:D11"/>
    <mergeCell ref="A11:B11"/>
    <mergeCell ref="E9:F9"/>
    <mergeCell ref="C9:D9"/>
    <mergeCell ref="A8:K8"/>
    <mergeCell ref="A44:B44"/>
    <mergeCell ref="G36:H36"/>
    <mergeCell ref="A37:K37"/>
    <mergeCell ref="A39:F39"/>
    <mergeCell ref="H39:K39"/>
    <mergeCell ref="A40:B40"/>
    <mergeCell ref="C40:D40"/>
    <mergeCell ref="E40:F40"/>
  </mergeCells>
  <pageMargins left="0.39370078740157483" right="0.39370078740157483" top="0.19685039370078741" bottom="0.19685039370078741" header="0" footer="0"/>
  <pageSetup paperSize="9" orientation="portrait" r:id="rId1"/>
  <headerFooter scaleWithDoc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9E4FE39E78194BBDFD5029E757908A" ma:contentTypeVersion="3" ma:contentTypeDescription="Crie um novo documento." ma:contentTypeScope="" ma:versionID="bbaceac1fa901febcf8e3005f5fc4759">
  <xsd:schema xmlns:xsd="http://www.w3.org/2001/XMLSchema" xmlns:xs="http://www.w3.org/2001/XMLSchema" xmlns:p="http://schemas.microsoft.com/office/2006/metadata/properties" xmlns:ns2="a6bcc47e-facf-4a2c-a568-e5a6338ca571" targetNamespace="http://schemas.microsoft.com/office/2006/metadata/properties" ma:root="true" ma:fieldsID="5ca518fe54e4f74335f5601d6ef853d6" ns2:_="">
    <xsd:import namespace="a6bcc47e-facf-4a2c-a568-e5a6338ca5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cc47e-facf-4a2c-a568-e5a6338ca5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C36E8A-7BDD-44BF-9668-40BE8B41860A}"/>
</file>

<file path=customXml/itemProps2.xml><?xml version="1.0" encoding="utf-8"?>
<ds:datastoreItem xmlns:ds="http://schemas.openxmlformats.org/officeDocument/2006/customXml" ds:itemID="{2F21BA31-F11C-40B5-876D-22943A9888E1}"/>
</file>

<file path=customXml/itemProps3.xml><?xml version="1.0" encoding="utf-8"?>
<ds:datastoreItem xmlns:ds="http://schemas.openxmlformats.org/officeDocument/2006/customXml" ds:itemID="{402343E3-A883-4667-B649-FE00B7D7D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</dc:creator>
  <cp:keywords/>
  <dc:description/>
  <cp:lastModifiedBy/>
  <cp:revision/>
  <dcterms:created xsi:type="dcterms:W3CDTF">2025-07-02T19:00:01Z</dcterms:created>
  <dcterms:modified xsi:type="dcterms:W3CDTF">2026-04-13T17:33:52Z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0x010100E89E4FE39E78194BBDFD5029E757908A</vt:lpwstr>
  </property>
</Properties>
</file>